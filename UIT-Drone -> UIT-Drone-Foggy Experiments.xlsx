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4x/8pnyb3vx1qvd_fkm7hlzz1cc0000gn/T/MicrosoftEdgeDownloads/38f2a5f6-e4f2-48fa-a8d7-fdab831beb63/"/>
    </mc:Choice>
  </mc:AlternateContent>
  <xr:revisionPtr revIDLastSave="0" documentId="13_ncr:1_{ACF9CF09-0B29-9F47-A2F4-97A508E36D30}" xr6:coauthVersionLast="47" xr6:coauthVersionMax="47" xr10:uidLastSave="{00000000-0000-0000-0000-000000000000}"/>
  <bookViews>
    <workbookView xWindow="0" yWindow="0" windowWidth="35840" windowHeight="22400" xr2:uid="{1D9763EA-C485-4B80-A572-ADABA2898A99}"/>
  </bookViews>
  <sheets>
    <sheet name="UIT-Drone -&gt; Foggy" sheetId="1" r:id="rId1"/>
    <sheet name="Results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12" i="2"/>
  <c r="D11" i="2"/>
  <c r="D10" i="2"/>
  <c r="D9" i="2"/>
  <c r="D8" i="2"/>
  <c r="D4" i="2"/>
  <c r="D5" i="2"/>
  <c r="D6" i="2"/>
  <c r="D7" i="2"/>
  <c r="B3" i="2"/>
  <c r="B12" i="2"/>
  <c r="B11" i="2"/>
  <c r="B10" i="2"/>
  <c r="B9" i="2"/>
  <c r="B8" i="2"/>
  <c r="B6" i="2"/>
  <c r="B5" i="2"/>
  <c r="B4" i="2"/>
  <c r="B7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<sst xmlns="http://schemas.openxmlformats.org/spreadsheetml/2006/main" count="106" uniqueCount="63">
  <si>
    <t>SCAN++</t>
  </si>
  <si>
    <t>Iter/Epoch</t>
  </si>
  <si>
    <t>80000 iters</t>
  </si>
  <si>
    <t>Batch size</t>
  </si>
  <si>
    <t>VGG-16-FPN-RETINANET</t>
  </si>
  <si>
    <t>Backbone</t>
  </si>
  <si>
    <t>SIGMA++</t>
  </si>
  <si>
    <t>100000 iters</t>
  </si>
  <si>
    <t>Satus</t>
  </si>
  <si>
    <t>Done</t>
  </si>
  <si>
    <t>BiADT</t>
  </si>
  <si>
    <t>50 epochs</t>
  </si>
  <si>
    <t>Versatile Teacher</t>
  </si>
  <si>
    <t>Teacher model</t>
  </si>
  <si>
    <t>CSPDarknet53</t>
  </si>
  <si>
    <t>Student model</t>
  </si>
  <si>
    <t>SF_TMAT</t>
  </si>
  <si>
    <t>source_only</t>
  </si>
  <si>
    <t>RESNET-50</t>
  </si>
  <si>
    <t>cross_domain_mae</t>
  </si>
  <si>
    <t>40 epochs</t>
  </si>
  <si>
    <t>SIGMA</t>
  </si>
  <si>
    <t>70000 iters</t>
  </si>
  <si>
    <t>DATR</t>
  </si>
  <si>
    <t>36 epochs</t>
  </si>
  <si>
    <t>Burn-In stage</t>
  </si>
  <si>
    <t>Teaching</t>
  </si>
  <si>
    <t>80 epochs</t>
  </si>
  <si>
    <t>Foggy-Aware Teacher</t>
  </si>
  <si>
    <t>100 epochs</t>
  </si>
  <si>
    <t>TS mutual learning stage</t>
  </si>
  <si>
    <t>HFDNet</t>
  </si>
  <si>
    <t>CSPNet (C2f)</t>
  </si>
  <si>
    <t>DA2OD</t>
  </si>
  <si>
    <t>source-only</t>
  </si>
  <si>
    <t>teacher-student mutual learning</t>
  </si>
  <si>
    <t>10000 iters</t>
  </si>
  <si>
    <t>Paper</t>
  </si>
  <si>
    <t>SIGMA: Semantic-complete Graph Matching for Domain Adaptative Object Detection</t>
  </si>
  <si>
    <t>SIGMA++: Improved Semantic-Complete Graph Matching for Domain Adaptive Object Detection</t>
  </si>
  <si>
    <t>Versatile Teacher: A Class-aware Teacher-student Framework for
 Cross-domain Adaptation</t>
  </si>
  <si>
    <t>Bidirectional Alignment for Domain Adaptive Detection with Transformers</t>
  </si>
  <si>
    <t>Foggy-Aware Teacher: An Unsupervised Domain Adaptive Learning Framework for Object Detection in Foggy Scenes</t>
  </si>
  <si>
    <t xml:space="preserve">Teaching in adverse scenes: a statistically feedback-driven 
threshold and mask adjustment teacher-student framework for 
object detection in UAV images under adverse scenes </t>
  </si>
  <si>
    <t>DATR: Unsupervised Domain Adaptive Detection Transformer with Dataset-Level Adaptation and Prototypical Alignment</t>
  </si>
  <si>
    <t>Hierarchical Feature Differentiation-guided Network for domain adaptation object detection</t>
  </si>
  <si>
    <t>Differential Alignment for Domain Adaptive Object Detection</t>
  </si>
  <si>
    <t>SCAN++: Enhanced Semantic Conditioned Adaptation for Domain Adaptive Object Detection (TMM)</t>
  </si>
  <si>
    <t>15000 iters</t>
  </si>
  <si>
    <t>Teacher-Student Mutual Learning stage</t>
  </si>
  <si>
    <t>Method</t>
  </si>
  <si>
    <t>pedestrian</t>
  </si>
  <si>
    <t>motor</t>
  </si>
  <si>
    <t>car</t>
  </si>
  <si>
    <t>bus</t>
  </si>
  <si>
    <t xml:space="preserve"> </t>
  </si>
  <si>
    <t>STT</t>
  </si>
  <si>
    <r>
      <t xml:space="preserve"> Table: Results on adaptation from UITDrone to UITDrone_Foggy. The best results are in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charset val="163"/>
        <scheme val="minor"/>
      </rPr>
      <t xml:space="preserve">, while the second-best results are </t>
    </r>
    <r>
      <rPr>
        <u/>
        <sz val="11"/>
        <color theme="1"/>
        <rFont val="Calibri"/>
        <family val="2"/>
        <scheme val="minor"/>
      </rPr>
      <t>underlined</t>
    </r>
    <r>
      <rPr>
        <sz val="11"/>
        <color theme="1"/>
        <rFont val="Calibri"/>
        <family val="2"/>
        <charset val="163"/>
        <scheme val="minor"/>
      </rPr>
      <t>.</t>
    </r>
  </si>
  <si>
    <t>Type</t>
  </si>
  <si>
    <t>UDA</t>
  </si>
  <si>
    <t>EVALUATING UNSUPERVISED DOMAIN ADAPTATION OBJECT DETECTION MODELS IN FOGGY CONDITIONS</t>
  </si>
  <si>
    <t>Methods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</si>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</sst>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  <charset val="163"/>
      <scheme val="minor"/>
    </font>
    <font>
      <b/>
      <sz val="14"/>
      <color rgb="FFFF0000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4" borderId="3" xfId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3" xfId="1" applyFill="1" applyBorder="1" applyAlignment="1">
      <alignment horizontal="center" vertical="center" wrapText="1"/>
    </xf>
    <xf numFmtId="0" fontId="4" fillId="7" borderId="3" xfId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5" fillId="4" borderId="1" xfId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4" fillId="8" borderId="1" xfId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11" fillId="4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4" fillId="4" borderId="1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/>
    <xf numFmtId="0" fontId="4" fillId="0" borderId="0" xfId="1" applyNumberFormat="1"/>
    <xf numFmtId="0" fontId="5" fillId="0" borderId="0" xfId="1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" fillId="4" borderId="3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4" fillId="4" borderId="2" xfId="1" applyFill="1" applyBorder="1" applyAlignment="1">
      <alignment horizontal="center" vertical="center" wrapText="1"/>
    </xf>
    <xf numFmtId="0" fontId="4" fillId="4" borderId="3" xfId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6" borderId="4" xfId="1" applyFill="1" applyBorder="1" applyAlignment="1">
      <alignment horizontal="center" vertical="center" wrapText="1"/>
    </xf>
    <xf numFmtId="0" fontId="4" fillId="6" borderId="5" xfId="1" applyFill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4" fillId="5" borderId="4" xfId="1" applyFill="1" applyBorder="1" applyAlignment="1">
      <alignment horizontal="center" vertical="center" wrapText="1"/>
    </xf>
    <xf numFmtId="0" fontId="4" fillId="5" borderId="5" xfId="1" applyFill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4" borderId="1" xfId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4" fillId="2" borderId="5" xfId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"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3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1</xdr:row>
      <xdr:rowOff>9525</xdr:rowOff>
    </xdr:from>
    <xdr:ext cx="3511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ABC1A7-62AF-40A3-B840-C1D82117CF77}"/>
                </a:ext>
              </a:extLst>
            </xdr:cNvPr>
            <xdr:cNvSpPr txBox="1"/>
          </xdr:nvSpPr>
          <xdr:spPr>
            <a:xfrm>
              <a:off x="4267200" y="9525"/>
              <a:ext cx="351186" cy="172227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𝑨𝑷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𝟓𝟎</m:t>
                        </m:r>
                      </m:sub>
                    </m:sSub>
                  </m:oMath>
                </m:oMathPara>
              </a14:m>
              <a:endParaRPr lang="en-US" sz="1100" b="1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ABC1A7-62AF-40A3-B840-C1D82117CF77}"/>
                </a:ext>
              </a:extLst>
            </xdr:cNvPr>
            <xdr:cNvSpPr txBox="1"/>
          </xdr:nvSpPr>
          <xdr:spPr>
            <a:xfrm>
              <a:off x="4267200" y="9525"/>
              <a:ext cx="351186" cy="172227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〖𝑨𝑷〗_𝟓𝟎</a:t>
              </a:r>
              <a:endParaRPr lang="en-US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793C6-8B19-4AC8-A7D4-38DB43A2BDFC}" name="Table1" displayName="Table1" ref="A2:I12" totalsRowShown="0" headerRowDxfId="12">
  <autoFilter ref="A2:I12" xr:uid="{57A793C6-8B19-4AC8-A7D4-38DB43A2BDFC}"/>
  <tableColumns count="9">
    <tableColumn id="1" xr3:uid="{15AB6DAC-7D9F-4364-ADB4-6EA7466DF322}" name="STT" dataDxfId="11"/>
    <tableColumn id="8" xr3:uid="{F2256573-A690-4F6F-8AEE-A527CD07EE5C}" name="Method" dataDxfId="10"/>
    <tableColumn id="9" xr3:uid="{674D7BD2-9013-4923-8AAD-7180829A703A}" name="Type" dataDxfId="9" dataCellStyle="Hyperlink"/>
    <tableColumn id="2" xr3:uid="{2342D9C8-2D83-421F-BECD-618EB0897079}" name="Backbone" dataDxfId="8">
      <calculatedColumnFormula>'UIT-Drone -&gt; Foggy'!H3</calculatedColumnFormula>
    </tableColumn>
    <tableColumn id="3" xr3:uid="{4365F7F3-1A37-437F-A814-1BF93DF155B6}" name="pedestrian" dataDxfId="7"/>
    <tableColumn id="4" xr3:uid="{60E37F39-DB64-4087-B37B-38482EFF2844}" name="motor" dataDxfId="6"/>
    <tableColumn id="5" xr3:uid="{E83DCC21-8DB0-467E-BA08-101366F606F5}" name="car" dataDxfId="5"/>
    <tableColumn id="6" xr3:uid="{0234879A-01C5-4A52-B4B8-B685DBB5FE24}" name="bus" dataDxfId="4"/>
    <tableColumn id="7" xr3:uid="{5FA2857E-A431-4E9E-B460-6B408D85D6A6}" name=" 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iuJiaji1999/HFDNet" TargetMode="External"/><Relationship Id="rId13" Type="http://schemas.openxmlformats.org/officeDocument/2006/relationships/hyperlink" Target="https://assets.amazon.science/a5/8d/239e10b3418a941cf1050cb615c9/bidirectional-alignment-for-domain-adaptive-detection-with-transformers.pdf" TargetMode="External"/><Relationship Id="rId18" Type="http://schemas.openxmlformats.org/officeDocument/2006/relationships/hyperlink" Target="https://github.com/CityU-AIM-Group/SCAN/tree/SCAN%2B%2B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github.com/helq2612/BiADT" TargetMode="External"/><Relationship Id="rId21" Type="http://schemas.openxmlformats.org/officeDocument/2006/relationships/hyperlink" Target="https://github.com/helq2612/BiADT" TargetMode="External"/><Relationship Id="rId7" Type="http://schemas.openxmlformats.org/officeDocument/2006/relationships/hyperlink" Target="https://github.com/qinhongda8/FA_Teather" TargetMode="External"/><Relationship Id="rId12" Type="http://schemas.openxmlformats.org/officeDocument/2006/relationships/hyperlink" Target="https://arxiv.org/pdf/2405.11754" TargetMode="External"/><Relationship Id="rId17" Type="http://schemas.openxmlformats.org/officeDocument/2006/relationships/hyperlink" Target="https://ojs.aaai.org/index.php/AAAI/article/download/33885/36040" TargetMode="External"/><Relationship Id="rId25" Type="http://schemas.openxmlformats.org/officeDocument/2006/relationships/hyperlink" Target="https://github.com/ChenHuyoo/SF_TMAT" TargetMode="External"/><Relationship Id="rId2" Type="http://schemas.openxmlformats.org/officeDocument/2006/relationships/hyperlink" Target="https://github.com/CityU-AIM-Group/SIGMA/tree/SIGMA%2B%2B" TargetMode="External"/><Relationship Id="rId16" Type="http://schemas.openxmlformats.org/officeDocument/2006/relationships/hyperlink" Target="https://download.ssrn.com/cviu/58857656-3a09-4ff2-b608-b600d7c5bfda-meca.pdf?response-content-disposition=inline&amp;X-Amz-Security-Token=IQoJb3JpZ2luX2VjECsaCXVzLWVhc3QtMSJHMEUCIQDu32eV4fJrtU%2F1vfrsuznBodaKZzU3Px0e4R8yOXQMtgIgZwpsHxpw6MCL4Qvm2CaKA%2FGqHkuCyOLkfyx%2BPol3DAcqxgUIhP%2F%2F%2F%2F%2F%2F%2F%2F%2F%2FARAEGgwzMDg0NzUzMDEyNTciDKqv9%2FvzBCtJ3VCYMSqaBVUF3D7fdVm0yq%2FHymHMjCeZmE8rOaUrFQzOb977f5vE6qB%2F7qWbdZ1GEM7Wg07kWVcbi9hWk7o%2FVeyexSMrwjpO%2B8Cm3qL4KOJQ4Sd5lS0P1%2BO%2BkinGNeK5%2FsTQH5pv7H7vM0RqAeyo4T2alTBzJdmmfi6yqzd%2Bu3WEp1OEEejCHg%2FQ1K9jFWCLFJmicAE9FsNOAgIUGgju%2BeRRHswjw9BjYlVLYG5Kpy5WYqmUJETF7TnjSxzujw74O1hHIocLHXR96uRo8TRmZKTWkzfHS%2FYU7h9AXga1ABDmkGJUKZqhirEB5o8WcoIcrY4cY6v2P0Z6VZ7IvFhvePCa2nAYWS%2FbrQpaRmYzf5CaTbEsRYfi%2Fw8b%2FNSrOO%2ByrohlzaxNy1VAoRdCd4CPLuQtbDxLw6RcZgqU5bIfbkaI%2BmLc%2BFsz5KoTs54oSM5ltpaQfCNIEVsfZiAjfWFkL94IlFQJ%2B6S6aQnggyEwTwQhri51MG%2B2APqJpvC5QfxNwMMoEyuFcGJ034W0LAykWe0AfeQo8jEpFJFFzCd68m%2FI7pMxhYTDfZfRNDPTWehIllY97tAhM0aBIdeVBwTqUcbrTCpICzTeBohQDDBDLKG9MgTnMe5t3FLT%2B3VAuK4hqepGxisiRypdzTqXZKHZMxs0ZjJHfKGywvzTVXIDv26y6fRbJuYgXmUzL0sQuVDG%2B8ncrhnu%2FkrxTGVAqjO%2BjZL1sgUx9ve2ihYfVROCrd8CbO93Ycl4ZmDFhsD05eyQisdSV%2F1E5H7Ww1tvB33Ge%2B42ltK37zLgcfjQr0qtICaWYwEgmrH01cTjtMK8cUDmXAuNS7rHKu00ubmOoY6bsrHbrv4QnsEQ2foQ74%2FR39RGRYdmKW20i1tRXPgu2FNE8TCh3rnFBjqxAVkm%2Fr7dUuwMykScrYHG4h6pvaBefNi4QyRoc%2Fwo%2Fm9r3mUEMCDQT%2FqwBtuCSTE6cXt%2BQjUTUD6VY98Dj70mhzPPbwB1d6ao2pQoyyghfK4PRWSK1Sv3Xf9RjTrgDRbptAVj1%2Ftd3D1hDrABuSRGfkjhvpE%2FSG4e7d5%2FtOW9hwK%2FP96gd%2FIWTnnAcjkgm3bi8YUDEaLqsXEL78aUuYHHLfNpTVqgO9RqtCKkJngkwFEFpg%3D%3D&amp;X-Amz-Algorithm=AWS4-HMAC-SHA256&amp;X-Amz-Date=20250827T025831Z&amp;X-Amz-SignedHeaders=host&amp;X-Amz-Expires=300&amp;X-Amz-Credential=ASIAUPUUPRWEUZXR73F4%2F20250827%2Fus-east-1%2Fs3%2Faws4_request&amp;X-Amz-Signature=3ea727114e1d1b23f02d1557d79074d0ab8862fe96a0d9279f056ae8e3b3049e&amp;abstractId=5397015" TargetMode="External"/><Relationship Id="rId20" Type="http://schemas.openxmlformats.org/officeDocument/2006/relationships/hyperlink" Target="https://github.com/RicardooYoung/VersatileTeacher" TargetMode="External"/><Relationship Id="rId1" Type="http://schemas.openxmlformats.org/officeDocument/2006/relationships/hyperlink" Target="https://github.com/CityU-AIM-Group/SCAN/tree/SCAN%2B%2B" TargetMode="External"/><Relationship Id="rId6" Type="http://schemas.openxmlformats.org/officeDocument/2006/relationships/hyperlink" Target="https://github.com/CityU-AIM-Group/SIGMA" TargetMode="External"/><Relationship Id="rId11" Type="http://schemas.openxmlformats.org/officeDocument/2006/relationships/hyperlink" Target="https://arxiv.org/pdf/2203.06398" TargetMode="External"/><Relationship Id="rId24" Type="http://schemas.openxmlformats.org/officeDocument/2006/relationships/hyperlink" Target="https://github.com/h751410234/DATR" TargetMode="External"/><Relationship Id="rId5" Type="http://schemas.openxmlformats.org/officeDocument/2006/relationships/hyperlink" Target="https://github.com/ChenHuyoo/SF_TMAT" TargetMode="External"/><Relationship Id="rId15" Type="http://schemas.openxmlformats.org/officeDocument/2006/relationships/hyperlink" Target="https://arxiv.org/pdf/2405.11765?" TargetMode="External"/><Relationship Id="rId23" Type="http://schemas.openxmlformats.org/officeDocument/2006/relationships/hyperlink" Target="https://github.com/EstrellaXyu/Differential-Alignment-for-DAOD/tree/master" TargetMode="External"/><Relationship Id="rId10" Type="http://schemas.openxmlformats.org/officeDocument/2006/relationships/hyperlink" Target="https://github.com/EstrellaXyu/Differential-Alignment-for-DAOD/tree/master" TargetMode="External"/><Relationship Id="rId19" Type="http://schemas.openxmlformats.org/officeDocument/2006/relationships/hyperlink" Target="https://github.com/CityU-AIM-Group/SIGMA/tree/SIGMA%2B%2B" TargetMode="External"/><Relationship Id="rId4" Type="http://schemas.openxmlformats.org/officeDocument/2006/relationships/hyperlink" Target="https://github.com/RicardooYoung/VersatileTeacher" TargetMode="External"/><Relationship Id="rId9" Type="http://schemas.openxmlformats.org/officeDocument/2006/relationships/hyperlink" Target="https://github.com/h751410234/DATR" TargetMode="External"/><Relationship Id="rId14" Type="http://schemas.openxmlformats.org/officeDocument/2006/relationships/hyperlink" Target="https://arxiv.org/pdf/2506.11175" TargetMode="External"/><Relationship Id="rId22" Type="http://schemas.openxmlformats.org/officeDocument/2006/relationships/hyperlink" Target="https://github.com/LiuJiaji1999/HFDNe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strellaXyu/Differential-Alignment-for-DAOD/tree/master" TargetMode="External"/><Relationship Id="rId3" Type="http://schemas.openxmlformats.org/officeDocument/2006/relationships/hyperlink" Target="https://github.com/CityU-AIM-Group/SIGMA/tree/SIGMA%2B%2B" TargetMode="External"/><Relationship Id="rId7" Type="http://schemas.openxmlformats.org/officeDocument/2006/relationships/hyperlink" Target="https://github.com/LiuJiaji1999/HFDNet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github.com/CityU-AIM-Group/SIGMA" TargetMode="External"/><Relationship Id="rId1" Type="http://schemas.openxmlformats.org/officeDocument/2006/relationships/hyperlink" Target="https://github.com/CityU-AIM-Group/SCAN/tree/SCAN%2B%2B" TargetMode="External"/><Relationship Id="rId6" Type="http://schemas.openxmlformats.org/officeDocument/2006/relationships/hyperlink" Target="https://github.com/qinhongda8/FA_Teather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github.com/helq2612/BiADT" TargetMode="External"/><Relationship Id="rId10" Type="http://schemas.openxmlformats.org/officeDocument/2006/relationships/hyperlink" Target="https://github.com/ChenHuyoo/SF_TMAT" TargetMode="External"/><Relationship Id="rId4" Type="http://schemas.openxmlformats.org/officeDocument/2006/relationships/hyperlink" Target="https://github.com/RicardooYoung/VersatileTeacher" TargetMode="External"/><Relationship Id="rId9" Type="http://schemas.openxmlformats.org/officeDocument/2006/relationships/hyperlink" Target="https://github.com/h751410234/DA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54A5-6017-4274-85E0-66F621E6F014}">
  <dimension ref="A1:I54"/>
  <sheetViews>
    <sheetView tabSelected="1" topLeftCell="A13" zoomScaleNormal="100" workbookViewId="0">
      <selection activeCell="H16" sqref="H16"/>
    </sheetView>
  </sheetViews>
  <sheetFormatPr baseColWidth="10" defaultColWidth="9.1640625" defaultRowHeight="14" x14ac:dyDescent="0.15"/>
  <cols>
    <col min="1" max="1" width="9.1640625" style="24"/>
    <col min="2" max="3" width="14.5" style="1" customWidth="1"/>
    <col min="4" max="4" width="22.83203125" style="1" customWidth="1"/>
    <col min="5" max="5" width="14.5" style="1" customWidth="1"/>
    <col min="6" max="6" width="12.6640625" style="1" customWidth="1"/>
    <col min="7" max="7" width="12.5" style="3" customWidth="1"/>
    <col min="8" max="8" width="28.5" style="1" customWidth="1"/>
    <col min="9" max="9" width="119.83203125" style="1" customWidth="1"/>
    <col min="10" max="11" width="9.1640625" style="1"/>
    <col min="12" max="12" width="9.1640625" style="1" customWidth="1"/>
    <col min="13" max="16384" width="9.1640625" style="1"/>
  </cols>
  <sheetData>
    <row r="1" spans="1:9" ht="28.5" customHeight="1" x14ac:dyDescent="0.15">
      <c r="B1" s="71" t="s">
        <v>60</v>
      </c>
      <c r="C1" s="71"/>
      <c r="D1" s="71"/>
      <c r="E1" s="71"/>
      <c r="F1" s="72"/>
      <c r="G1" s="72"/>
      <c r="H1" s="72"/>
      <c r="I1" s="72"/>
    </row>
    <row r="2" spans="1:9" ht="30" customHeight="1" x14ac:dyDescent="0.15">
      <c r="B2" s="73" t="s">
        <v>61</v>
      </c>
      <c r="C2" s="74"/>
      <c r="D2" s="14" t="s">
        <v>37</v>
      </c>
      <c r="E2" s="14" t="s">
        <v>8</v>
      </c>
      <c r="F2" s="7" t="s">
        <v>1</v>
      </c>
      <c r="G2" s="8" t="s">
        <v>3</v>
      </c>
      <c r="H2" s="8" t="s">
        <v>5</v>
      </c>
      <c r="I2" s="8" t="s">
        <v>62</v>
      </c>
    </row>
    <row r="3" spans="1:9" ht="106.5" customHeight="1" x14ac:dyDescent="0.15">
      <c r="A3" s="19">
        <v>1</v>
      </c>
      <c r="B3" s="69" t="s">
        <v>0</v>
      </c>
      <c r="C3" s="70"/>
      <c r="D3" s="66" t="s">
        <v>47</v>
      </c>
      <c r="E3" s="13" t="s">
        <v>9</v>
      </c>
      <c r="F3" s="32" t="s">
        <v>2</v>
      </c>
      <c r="G3" s="19">
        <v>2</v>
      </c>
      <c r="H3" s="33" t="s">
        <v>4</v>
      </c>
      <c r="I3" s="19" t="e" vm="1">
        <v>#VALUE!</v>
      </c>
    </row>
    <row r="4" spans="1:9" s="16" customFormat="1" ht="128.25" customHeight="1" x14ac:dyDescent="0.15">
      <c r="A4" s="30">
        <v>2</v>
      </c>
      <c r="B4" s="77" t="s">
        <v>21</v>
      </c>
      <c r="C4" s="78"/>
      <c r="D4" s="15" t="s">
        <v>38</v>
      </c>
      <c r="E4" s="15" t="s">
        <v>9</v>
      </c>
      <c r="F4" s="4" t="s">
        <v>22</v>
      </c>
      <c r="G4" s="30">
        <v>2</v>
      </c>
      <c r="H4" s="6" t="s">
        <v>4</v>
      </c>
      <c r="I4" s="30" t="e" vm="2">
        <v>#VALUE!</v>
      </c>
    </row>
    <row r="5" spans="1:9" s="9" customFormat="1" ht="129.75" customHeight="1" x14ac:dyDescent="0.2">
      <c r="A5" s="11">
        <v>3</v>
      </c>
      <c r="B5" s="69" t="s">
        <v>6</v>
      </c>
      <c r="C5" s="70"/>
      <c r="D5" s="41" t="s">
        <v>39</v>
      </c>
      <c r="E5" s="15" t="s">
        <v>9</v>
      </c>
      <c r="F5" s="10" t="s">
        <v>7</v>
      </c>
      <c r="G5" s="11">
        <v>2</v>
      </c>
      <c r="H5" s="11" t="s">
        <v>4</v>
      </c>
      <c r="I5" s="11" t="e" vm="3">
        <v>#VALUE!</v>
      </c>
    </row>
    <row r="6" spans="1:9" s="23" customFormat="1" ht="137.25" customHeight="1" x14ac:dyDescent="0.2">
      <c r="A6" s="68">
        <v>4</v>
      </c>
      <c r="B6" s="75" t="s">
        <v>12</v>
      </c>
      <c r="C6" s="12" t="s">
        <v>13</v>
      </c>
      <c r="D6" s="79" t="s">
        <v>40</v>
      </c>
      <c r="E6" s="20" t="s">
        <v>9</v>
      </c>
      <c r="F6" s="27" t="s">
        <v>11</v>
      </c>
      <c r="G6" s="28">
        <v>16</v>
      </c>
      <c r="H6" s="28" t="s">
        <v>14</v>
      </c>
      <c r="I6" s="28" t="e" vm="4">
        <v>#VALUE!</v>
      </c>
    </row>
    <row r="7" spans="1:9" s="16" customFormat="1" ht="153" customHeight="1" x14ac:dyDescent="0.15">
      <c r="A7" s="68"/>
      <c r="B7" s="76"/>
      <c r="C7" s="22" t="s">
        <v>15</v>
      </c>
      <c r="D7" s="80"/>
      <c r="E7" s="21" t="s">
        <v>9</v>
      </c>
      <c r="F7" s="25" t="s">
        <v>11</v>
      </c>
      <c r="G7" s="26">
        <v>16</v>
      </c>
      <c r="H7" s="26" t="s">
        <v>14</v>
      </c>
      <c r="I7" s="22" t="e" vm="5">
        <v>#VALUE!</v>
      </c>
    </row>
    <row r="8" spans="1:9" s="17" customFormat="1" ht="192" customHeight="1" x14ac:dyDescent="0.2">
      <c r="A8" s="19">
        <v>5</v>
      </c>
      <c r="B8" s="69" t="s">
        <v>10</v>
      </c>
      <c r="C8" s="70"/>
      <c r="D8" s="13" t="s">
        <v>41</v>
      </c>
      <c r="E8" s="13" t="s">
        <v>9</v>
      </c>
      <c r="F8" s="18" t="s">
        <v>11</v>
      </c>
      <c r="G8" s="19">
        <v>2</v>
      </c>
      <c r="H8" s="19" t="s">
        <v>18</v>
      </c>
      <c r="I8" s="19" t="e" vm="6">
        <v>#VALUE!</v>
      </c>
    </row>
    <row r="9" spans="1:9" ht="67.5" customHeight="1" x14ac:dyDescent="0.15">
      <c r="A9" s="84">
        <v>6</v>
      </c>
      <c r="B9" s="81" t="s">
        <v>28</v>
      </c>
      <c r="C9" s="34" t="s">
        <v>25</v>
      </c>
      <c r="D9" s="91" t="s">
        <v>42</v>
      </c>
      <c r="E9" s="35" t="s">
        <v>9</v>
      </c>
      <c r="F9" s="34" t="s">
        <v>29</v>
      </c>
      <c r="G9" s="36">
        <v>16</v>
      </c>
      <c r="H9" s="36" t="s">
        <v>32</v>
      </c>
      <c r="I9" s="36" t="e" vm="7">
        <v>#VALUE!</v>
      </c>
    </row>
    <row r="10" spans="1:9" ht="70.5" customHeight="1" x14ac:dyDescent="0.15">
      <c r="A10" s="85"/>
      <c r="B10" s="83"/>
      <c r="C10" s="37" t="s">
        <v>30</v>
      </c>
      <c r="D10" s="92"/>
      <c r="E10" s="38" t="s">
        <v>9</v>
      </c>
      <c r="F10" s="37" t="s">
        <v>29</v>
      </c>
      <c r="G10" s="39">
        <v>16</v>
      </c>
      <c r="H10" s="39" t="s">
        <v>32</v>
      </c>
      <c r="I10" s="39" t="e" vm="8">
        <v>#VALUE!</v>
      </c>
    </row>
    <row r="11" spans="1:9" s="16" customFormat="1" ht="88.5" customHeight="1" x14ac:dyDescent="0.15">
      <c r="A11" s="11">
        <v>7</v>
      </c>
      <c r="B11" s="86" t="s">
        <v>31</v>
      </c>
      <c r="C11" s="86"/>
      <c r="D11" s="49" t="s">
        <v>45</v>
      </c>
      <c r="E11" s="49" t="s">
        <v>9</v>
      </c>
      <c r="F11" s="18" t="s">
        <v>29</v>
      </c>
      <c r="G11" s="11">
        <v>4</v>
      </c>
      <c r="H11" s="19" t="s">
        <v>14</v>
      </c>
      <c r="I11" s="11" t="e" vm="9">
        <v>#VALUE!</v>
      </c>
    </row>
    <row r="12" spans="1:9" s="54" customFormat="1" ht="132" customHeight="1" x14ac:dyDescent="0.2">
      <c r="A12" s="89">
        <v>8</v>
      </c>
      <c r="B12" s="95" t="s">
        <v>33</v>
      </c>
      <c r="C12" s="50" t="s">
        <v>34</v>
      </c>
      <c r="D12" s="93" t="s">
        <v>46</v>
      </c>
      <c r="E12" s="53" t="s">
        <v>9</v>
      </c>
      <c r="F12" s="50" t="s">
        <v>36</v>
      </c>
      <c r="G12" s="51">
        <v>32</v>
      </c>
      <c r="H12" s="51" t="s">
        <v>18</v>
      </c>
      <c r="I12" s="51" t="e" vm="10">
        <v>#VALUE!</v>
      </c>
    </row>
    <row r="13" spans="1:9" s="2" customFormat="1" ht="127" customHeight="1" x14ac:dyDescent="0.2">
      <c r="A13" s="90"/>
      <c r="B13" s="95"/>
      <c r="C13" s="22" t="s">
        <v>35</v>
      </c>
      <c r="D13" s="94"/>
      <c r="E13" s="40" t="s">
        <v>9</v>
      </c>
      <c r="F13" s="22" t="s">
        <v>48</v>
      </c>
      <c r="G13" s="52">
        <v>4</v>
      </c>
      <c r="H13" s="52" t="s">
        <v>18</v>
      </c>
      <c r="I13" s="52" t="e" vm="11">
        <v>#VALUE!</v>
      </c>
    </row>
    <row r="14" spans="1:9" s="2" customFormat="1" ht="144" customHeight="1" x14ac:dyDescent="0.15">
      <c r="A14" s="87">
        <v>9</v>
      </c>
      <c r="B14" s="86" t="s">
        <v>23</v>
      </c>
      <c r="C14" s="18" t="s">
        <v>25</v>
      </c>
      <c r="D14" s="86" t="s">
        <v>44</v>
      </c>
      <c r="E14" s="49" t="s">
        <v>9</v>
      </c>
      <c r="F14" s="11" t="s">
        <v>24</v>
      </c>
      <c r="G14" s="19">
        <v>2</v>
      </c>
      <c r="H14" s="19" t="s">
        <v>18</v>
      </c>
      <c r="I14" s="55" t="e" vm="12">
        <v>#VALUE!</v>
      </c>
    </row>
    <row r="15" spans="1:9" s="2" customFormat="1" ht="193.5" customHeight="1" x14ac:dyDescent="0.2">
      <c r="A15" s="88"/>
      <c r="B15" s="86"/>
      <c r="C15" s="56" t="s">
        <v>49</v>
      </c>
      <c r="D15" s="86"/>
      <c r="E15" s="49" t="s">
        <v>9</v>
      </c>
      <c r="F15" s="57">
        <v>46</v>
      </c>
      <c r="G15" s="57">
        <v>2</v>
      </c>
      <c r="H15" s="57" t="s">
        <v>18</v>
      </c>
      <c r="I15" s="57" t="e" vm="13">
        <v>#VALUE!</v>
      </c>
    </row>
    <row r="16" spans="1:9" ht="143.25" customHeight="1" x14ac:dyDescent="0.15">
      <c r="A16" s="97">
        <v>10</v>
      </c>
      <c r="B16" s="81" t="s">
        <v>16</v>
      </c>
      <c r="C16" s="6" t="s">
        <v>17</v>
      </c>
      <c r="D16" s="81" t="s">
        <v>43</v>
      </c>
      <c r="E16" s="15" t="s">
        <v>9</v>
      </c>
      <c r="F16" s="29" t="s">
        <v>11</v>
      </c>
      <c r="G16" s="5">
        <v>8</v>
      </c>
      <c r="H16" s="5" t="s">
        <v>18</v>
      </c>
      <c r="I16" s="5" t="e" vm="14">
        <v>#VALUE!</v>
      </c>
    </row>
    <row r="17" spans="1:9" s="16" customFormat="1" ht="143.25" customHeight="1" x14ac:dyDescent="0.15">
      <c r="A17" s="98"/>
      <c r="B17" s="82"/>
      <c r="C17" s="6" t="s">
        <v>19</v>
      </c>
      <c r="D17" s="82"/>
      <c r="E17" s="15" t="s">
        <v>9</v>
      </c>
      <c r="F17" s="29" t="s">
        <v>20</v>
      </c>
      <c r="G17" s="30">
        <v>2</v>
      </c>
      <c r="H17" s="30" t="s">
        <v>18</v>
      </c>
      <c r="I17" s="31" t="e" vm="15">
        <v>#VALUE!</v>
      </c>
    </row>
    <row r="18" spans="1:9" ht="149.25" customHeight="1" x14ac:dyDescent="0.15">
      <c r="A18" s="99"/>
      <c r="B18" s="83"/>
      <c r="C18" s="6" t="s">
        <v>26</v>
      </c>
      <c r="D18" s="83"/>
      <c r="E18" s="15" t="s">
        <v>9</v>
      </c>
      <c r="F18" s="29" t="s">
        <v>27</v>
      </c>
      <c r="G18" s="30">
        <v>4</v>
      </c>
      <c r="H18" s="30" t="s">
        <v>18</v>
      </c>
      <c r="I18" s="30" t="e" vm="16">
        <v>#VALUE!</v>
      </c>
    </row>
    <row r="19" spans="1:9" ht="204" customHeight="1" x14ac:dyDescent="0.15">
      <c r="A19" s="9"/>
      <c r="B19" s="43"/>
      <c r="C19" s="44"/>
      <c r="D19" s="45"/>
      <c r="E19" s="46"/>
      <c r="F19" s="44"/>
      <c r="G19" s="47"/>
      <c r="H19" s="42"/>
      <c r="I19" s="48"/>
    </row>
    <row r="20" spans="1:9" s="16" customFormat="1" ht="123.75" customHeight="1" x14ac:dyDescent="0.15">
      <c r="A20" s="24"/>
      <c r="B20" s="1"/>
      <c r="C20" s="1"/>
      <c r="D20" s="1"/>
      <c r="E20" s="1"/>
      <c r="F20" s="1"/>
      <c r="G20" s="3"/>
      <c r="H20" s="1"/>
      <c r="I20" s="1"/>
    </row>
    <row r="21" spans="1:9" s="16" customFormat="1" x14ac:dyDescent="0.15">
      <c r="A21" s="24"/>
      <c r="B21" s="2"/>
      <c r="C21" s="2"/>
      <c r="D21" s="2"/>
      <c r="E21" s="2"/>
      <c r="F21" s="2"/>
      <c r="G21" s="3"/>
      <c r="H21" s="1"/>
      <c r="I21" s="1"/>
    </row>
    <row r="22" spans="1:9" x14ac:dyDescent="0.15">
      <c r="B22" s="2"/>
      <c r="C22" s="2"/>
      <c r="D22" s="2"/>
      <c r="E22" s="2"/>
      <c r="F22" s="2"/>
    </row>
    <row r="23" spans="1:9" x14ac:dyDescent="0.15">
      <c r="B23" s="2"/>
      <c r="C23" s="2"/>
      <c r="D23" s="2"/>
      <c r="E23" s="2"/>
      <c r="F23" s="2"/>
    </row>
    <row r="24" spans="1:9" x14ac:dyDescent="0.15">
      <c r="B24" s="2"/>
      <c r="C24" s="2"/>
      <c r="D24" s="2"/>
      <c r="E24" s="2"/>
      <c r="F24" s="2"/>
    </row>
    <row r="25" spans="1:9" x14ac:dyDescent="0.15">
      <c r="B25" s="2"/>
      <c r="C25" s="2"/>
      <c r="D25" s="2"/>
      <c r="E25" s="2"/>
      <c r="F25" s="2"/>
    </row>
    <row r="26" spans="1:9" x14ac:dyDescent="0.15">
      <c r="B26" s="2"/>
      <c r="C26" s="2"/>
      <c r="D26" s="2"/>
      <c r="E26" s="2"/>
      <c r="F26" s="2"/>
    </row>
    <row r="27" spans="1:9" x14ac:dyDescent="0.15">
      <c r="B27" s="2"/>
      <c r="C27" s="2"/>
      <c r="D27" s="2"/>
      <c r="E27" s="2"/>
      <c r="F27" s="2"/>
    </row>
    <row r="28" spans="1:9" x14ac:dyDescent="0.15">
      <c r="B28" s="2"/>
      <c r="C28" s="2"/>
      <c r="D28" s="2"/>
      <c r="E28" s="2"/>
      <c r="F28" s="2"/>
    </row>
    <row r="29" spans="1:9" x14ac:dyDescent="0.15">
      <c r="B29" s="2"/>
      <c r="C29" s="2"/>
      <c r="D29" s="2"/>
      <c r="E29" s="2"/>
      <c r="F29" s="2"/>
    </row>
    <row r="30" spans="1:9" x14ac:dyDescent="0.15">
      <c r="B30" s="2"/>
      <c r="C30" s="2"/>
      <c r="D30" s="2"/>
      <c r="E30" s="2"/>
      <c r="F30" s="2"/>
    </row>
    <row r="31" spans="1:9" x14ac:dyDescent="0.15">
      <c r="B31" s="2"/>
      <c r="C31" s="2"/>
      <c r="D31" s="2"/>
      <c r="E31" s="2"/>
      <c r="F31" s="2"/>
    </row>
    <row r="32" spans="1:9" x14ac:dyDescent="0.15">
      <c r="B32" s="2"/>
      <c r="C32" s="2"/>
      <c r="D32" s="2"/>
      <c r="E32" s="2"/>
      <c r="F32" s="2"/>
    </row>
    <row r="33" spans="2:6" x14ac:dyDescent="0.15">
      <c r="B33" s="2"/>
      <c r="C33" s="2"/>
      <c r="D33" s="2"/>
      <c r="E33" s="2"/>
      <c r="F33" s="2"/>
    </row>
    <row r="34" spans="2:6" x14ac:dyDescent="0.15">
      <c r="B34" s="2"/>
      <c r="C34" s="2"/>
      <c r="D34" s="2"/>
      <c r="E34" s="2"/>
      <c r="F34" s="2"/>
    </row>
    <row r="35" spans="2:6" x14ac:dyDescent="0.15">
      <c r="B35" s="2"/>
      <c r="C35" s="2"/>
      <c r="D35" s="2"/>
      <c r="E35" s="2"/>
      <c r="F35" s="2"/>
    </row>
    <row r="36" spans="2:6" x14ac:dyDescent="0.15">
      <c r="B36" s="2"/>
      <c r="C36" s="2"/>
      <c r="D36" s="2"/>
      <c r="E36" s="2"/>
      <c r="F36" s="2"/>
    </row>
    <row r="37" spans="2:6" x14ac:dyDescent="0.15">
      <c r="B37" s="2"/>
      <c r="C37" s="2"/>
      <c r="D37" s="2"/>
      <c r="E37" s="2"/>
      <c r="F37" s="2"/>
    </row>
    <row r="38" spans="2:6" x14ac:dyDescent="0.15">
      <c r="B38" s="2"/>
      <c r="C38" s="2"/>
      <c r="D38" s="2"/>
      <c r="E38" s="2"/>
      <c r="F38" s="2"/>
    </row>
    <row r="39" spans="2:6" x14ac:dyDescent="0.15">
      <c r="B39" s="2"/>
      <c r="C39" s="2"/>
      <c r="D39" s="2"/>
      <c r="E39" s="2"/>
      <c r="F39" s="2"/>
    </row>
    <row r="40" spans="2:6" x14ac:dyDescent="0.15">
      <c r="B40" s="2"/>
      <c r="C40" s="2"/>
      <c r="D40" s="2"/>
      <c r="E40" s="2"/>
      <c r="F40" s="2"/>
    </row>
    <row r="41" spans="2:6" x14ac:dyDescent="0.15">
      <c r="B41" s="2"/>
      <c r="C41" s="2"/>
      <c r="D41" s="2"/>
      <c r="E41" s="2"/>
      <c r="F41" s="2"/>
    </row>
    <row r="42" spans="2:6" x14ac:dyDescent="0.15">
      <c r="B42" s="2"/>
      <c r="C42" s="2"/>
      <c r="D42" s="2"/>
      <c r="E42" s="2"/>
      <c r="F42" s="2"/>
    </row>
    <row r="43" spans="2:6" x14ac:dyDescent="0.15">
      <c r="B43" s="2"/>
      <c r="C43" s="2"/>
      <c r="D43" s="2"/>
      <c r="E43" s="2"/>
      <c r="F43" s="2"/>
    </row>
    <row r="44" spans="2:6" x14ac:dyDescent="0.15">
      <c r="B44" s="2"/>
      <c r="C44" s="2"/>
      <c r="D44" s="2"/>
      <c r="E44" s="2"/>
      <c r="F44" s="2"/>
    </row>
    <row r="45" spans="2:6" x14ac:dyDescent="0.15">
      <c r="B45" s="2"/>
      <c r="C45" s="2"/>
      <c r="D45" s="2"/>
      <c r="E45" s="2"/>
      <c r="F45" s="2"/>
    </row>
    <row r="46" spans="2:6" x14ac:dyDescent="0.15">
      <c r="B46" s="2"/>
      <c r="C46" s="2"/>
      <c r="D46" s="2"/>
      <c r="E46" s="2"/>
      <c r="F46" s="2"/>
    </row>
    <row r="47" spans="2:6" x14ac:dyDescent="0.15">
      <c r="B47" s="2"/>
      <c r="C47" s="2"/>
      <c r="D47" s="2"/>
      <c r="E47" s="2"/>
      <c r="F47" s="2"/>
    </row>
    <row r="48" spans="2:6" x14ac:dyDescent="0.15">
      <c r="B48" s="2"/>
      <c r="C48" s="2"/>
      <c r="D48" s="2"/>
      <c r="E48" s="2"/>
      <c r="F48" s="2"/>
    </row>
    <row r="49" spans="2:6" x14ac:dyDescent="0.15">
      <c r="B49" s="2"/>
      <c r="C49" s="2"/>
      <c r="D49" s="2"/>
      <c r="E49" s="2"/>
      <c r="F49" s="2"/>
    </row>
    <row r="50" spans="2:6" x14ac:dyDescent="0.15">
      <c r="B50" s="2"/>
      <c r="C50" s="2"/>
      <c r="D50" s="2"/>
      <c r="E50" s="2"/>
      <c r="F50" s="2"/>
    </row>
    <row r="51" spans="2:6" x14ac:dyDescent="0.15">
      <c r="B51" s="2"/>
      <c r="C51" s="2"/>
      <c r="D51" s="2"/>
      <c r="E51" s="2"/>
      <c r="F51" s="2"/>
    </row>
    <row r="52" spans="2:6" x14ac:dyDescent="0.15">
      <c r="B52" s="2"/>
      <c r="C52" s="2"/>
      <c r="D52" s="2"/>
      <c r="E52" s="2"/>
      <c r="F52" s="2"/>
    </row>
    <row r="53" spans="2:6" x14ac:dyDescent="0.15">
      <c r="B53" s="2"/>
      <c r="C53" s="2"/>
      <c r="D53" s="2"/>
      <c r="E53" s="2"/>
      <c r="F53" s="2"/>
    </row>
    <row r="54" spans="2:6" x14ac:dyDescent="0.15">
      <c r="B54" s="2"/>
      <c r="C54" s="2"/>
      <c r="D54" s="2"/>
      <c r="E54" s="2"/>
      <c r="F54" s="2"/>
    </row>
  </sheetData>
  <mergeCells count="22">
    <mergeCell ref="B16:B18"/>
    <mergeCell ref="A9:A10"/>
    <mergeCell ref="B9:B10"/>
    <mergeCell ref="D14:D15"/>
    <mergeCell ref="B14:B15"/>
    <mergeCell ref="A14:A15"/>
    <mergeCell ref="A12:A13"/>
    <mergeCell ref="D9:D10"/>
    <mergeCell ref="D16:D18"/>
    <mergeCell ref="D12:D13"/>
    <mergeCell ref="B11:C11"/>
    <mergeCell ref="B12:B13"/>
    <mergeCell ref="A16:A18"/>
    <mergeCell ref="A6:A7"/>
    <mergeCell ref="B8:C8"/>
    <mergeCell ref="B1:I1"/>
    <mergeCell ref="B2:C2"/>
    <mergeCell ref="B3:C3"/>
    <mergeCell ref="B5:C5"/>
    <mergeCell ref="B6:B7"/>
    <mergeCell ref="B4:C4"/>
    <mergeCell ref="D6:D7"/>
  </mergeCells>
  <phoneticPr fontId="8" type="noConversion"/>
  <conditionalFormatting sqref="E3:E19">
    <cfRule type="cellIs" dxfId="2" priority="1" operator="equal">
      <formula>"Todo"</formula>
    </cfRule>
    <cfRule type="cellIs" dxfId="1" priority="2" operator="equal">
      <formula>"In Progress"</formula>
    </cfRule>
    <cfRule type="cellIs" dxfId="0" priority="3" operator="equal">
      <formula>"Done"</formula>
    </cfRule>
  </conditionalFormatting>
  <dataValidations count="1">
    <dataValidation type="list" allowBlank="1" showInputMessage="1" showErrorMessage="1" sqref="E3:E15 E16:E19" xr:uid="{83FAC99C-2AB7-41B7-BE63-F6535A93B3E3}">
      <formula1>"Done, In Progress, Todo"</formula1>
    </dataValidation>
  </dataValidations>
  <hyperlinks>
    <hyperlink ref="B3" r:id="rId1" xr:uid="{1819EF7E-C832-40BD-8195-02C8B3C7C422}"/>
    <hyperlink ref="B5" r:id="rId2" xr:uid="{3F43DEAA-6402-4C98-94FD-E0D0D06A5A20}"/>
    <hyperlink ref="B8" r:id="rId3" xr:uid="{84D4F11C-E50B-4BA7-85E2-71B24E6B8B02}"/>
    <hyperlink ref="B6" r:id="rId4" xr:uid="{3C63BB17-AD0C-4D1B-87A2-0BA30ED6AE84}"/>
    <hyperlink ref="B16:B17" r:id="rId5" display="SF_TMAT" xr:uid="{9324B0D1-04EB-4147-A7DF-5BD4DF42E1FF}"/>
    <hyperlink ref="B4:C4" r:id="rId6" display="SIGMA" xr:uid="{98F0902F-B204-4AC2-8CA3-4DE1692AA16C}"/>
    <hyperlink ref="B9:B10" r:id="rId7" display="Foggy-Aware Teacher" xr:uid="{D6298075-502E-4507-A133-E44CE15D8E0A}"/>
    <hyperlink ref="B11" r:id="rId8" xr:uid="{2E605F8B-91CC-4BE6-AC80-5BEB45ED5C0A}"/>
    <hyperlink ref="B14" r:id="rId9" xr:uid="{9FE2952C-C1ED-4312-9850-1EE82B60DC47}"/>
    <hyperlink ref="B12" r:id="rId10" xr:uid="{13CD42D8-3B72-4A6F-B325-4DAE0092A36C}"/>
    <hyperlink ref="D4" r:id="rId11" xr:uid="{6DA5326D-DD9A-4D48-9965-C909D528F8E4}"/>
    <hyperlink ref="D6:D7" r:id="rId12" display="https://arxiv.org/pdf/2405.11754" xr:uid="{B3452868-85F5-4080-B414-9E853A41B1B2}"/>
    <hyperlink ref="D8" r:id="rId13" xr:uid="{D3F7574D-3B7F-4C07-A0EA-6A90082E9AFB}"/>
    <hyperlink ref="D16:D18" r:id="rId14" display="https://arxiv.org/pdf/2506.11175" xr:uid="{31B314B3-2FC7-4421-B13C-18DE9F0870AF}"/>
    <hyperlink ref="D14" r:id="rId15" xr:uid="{F4150185-51C9-4B8B-9C6C-CD889B095DA1}"/>
    <hyperlink ref="D11" r:id="rId16" xr:uid="{79E06C90-974E-44C3-B8DD-F1DB9EC3297A}"/>
    <hyperlink ref="D12:D13" r:id="rId17" display="Differential Alignment for Domain Adaptive Object Detection" xr:uid="{E636A8D9-0E3C-44E9-BFAA-9D700DED540A}"/>
    <hyperlink ref="B3:C3" r:id="rId18" display="SCAN++" xr:uid="{27361E77-905A-43E1-A399-9D981387A776}"/>
    <hyperlink ref="B5:C5" r:id="rId19" display="SIGMA++" xr:uid="{FBFB2A82-671A-4A2B-9D9A-E03C0B634782}"/>
    <hyperlink ref="B6:B7" r:id="rId20" display="Versatile Teacher" xr:uid="{0BD28A24-EDA1-43F1-87BD-96ECEFB15AA0}"/>
    <hyperlink ref="B8:C8" r:id="rId21" display="BiADT" xr:uid="{889BF950-669A-40C1-92DD-B480F43A6157}"/>
    <hyperlink ref="B11:C11" r:id="rId22" display="HFDNet" xr:uid="{349EC473-98D4-408D-AA67-A1B0D09CB23F}"/>
    <hyperlink ref="B12:B13" r:id="rId23" display="DA2OD" xr:uid="{9A992F89-7227-4927-84FC-BD744BA65DAB}"/>
    <hyperlink ref="B14:B15" r:id="rId24" display="DATR" xr:uid="{AB1BCE4C-7DF0-4B97-A2E7-AC2698659D78}"/>
    <hyperlink ref="B16:B18" r:id="rId25" display="SF_TMAT" xr:uid="{C0E11385-5E05-46D6-AE9B-AC15D72286B4}"/>
  </hyperlinks>
  <pageMargins left="0.7" right="0.7" top="0.75" bottom="0.75" header="0.3" footer="0.3"/>
  <pageSetup orientation="portrait" horizontalDpi="1200" verticalDpi="1200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03F1-BB63-4B85-AB31-085D81DA7E60}">
  <dimension ref="A1:K12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12" customWidth="1"/>
    <col min="2" max="3" width="21.83203125" customWidth="1"/>
    <col min="4" max="4" width="27.33203125" customWidth="1"/>
    <col min="5" max="5" width="16.1640625" customWidth="1"/>
    <col min="6" max="6" width="13" customWidth="1"/>
    <col min="7" max="7" width="11.1640625" customWidth="1"/>
    <col min="8" max="8" width="10.6640625" customWidth="1"/>
    <col min="9" max="9" width="14" customWidth="1"/>
    <col min="11" max="11" width="111.5" customWidth="1"/>
  </cols>
  <sheetData>
    <row r="1" spans="1:11" ht="24.75" customHeight="1" x14ac:dyDescent="0.2">
      <c r="A1" s="96" t="s">
        <v>57</v>
      </c>
      <c r="B1" s="96"/>
      <c r="C1" s="96"/>
      <c r="D1" s="96"/>
      <c r="E1" s="96"/>
      <c r="F1" s="96"/>
      <c r="G1" s="96"/>
      <c r="H1" s="96"/>
      <c r="I1" s="96"/>
    </row>
    <row r="2" spans="1:11" s="58" customFormat="1" x14ac:dyDescent="0.2">
      <c r="A2" s="58" t="s">
        <v>56</v>
      </c>
      <c r="B2" s="58" t="s">
        <v>50</v>
      </c>
      <c r="C2" s="58" t="s">
        <v>58</v>
      </c>
      <c r="D2" s="58" t="s">
        <v>5</v>
      </c>
      <c r="E2" s="58" t="s">
        <v>51</v>
      </c>
      <c r="F2" s="58" t="s">
        <v>52</v>
      </c>
      <c r="G2" s="58" t="s">
        <v>53</v>
      </c>
      <c r="H2" s="58" t="s">
        <v>54</v>
      </c>
      <c r="I2" s="58" t="s">
        <v>55</v>
      </c>
    </row>
    <row r="3" spans="1:11" x14ac:dyDescent="0.2">
      <c r="A3" s="61">
        <v>1</v>
      </c>
      <c r="B3" s="59" t="str">
        <f>'UIT-Drone -&gt; Foggy'!B3</f>
        <v>SCAN++</v>
      </c>
      <c r="C3" s="67" t="s">
        <v>59</v>
      </c>
      <c r="D3" s="58" t="str">
        <f>'UIT-Drone -&gt; Foggy'!H3</f>
        <v>VGG-16-FPN-RETINANET</v>
      </c>
      <c r="E3" s="63">
        <v>10.199999999999999</v>
      </c>
      <c r="F3" s="63">
        <v>59.4</v>
      </c>
      <c r="G3" s="63">
        <v>71.7</v>
      </c>
      <c r="H3" s="63">
        <v>49.6</v>
      </c>
      <c r="I3" s="63">
        <v>47.7</v>
      </c>
    </row>
    <row r="4" spans="1:11" x14ac:dyDescent="0.2">
      <c r="A4" s="61">
        <v>2</v>
      </c>
      <c r="B4" s="59" t="str">
        <f>'UIT-Drone -&gt; Foggy'!B4</f>
        <v>SIGMA</v>
      </c>
      <c r="C4" s="67" t="s">
        <v>59</v>
      </c>
      <c r="D4" s="58" t="str">
        <f>'UIT-Drone -&gt; Foggy'!H4</f>
        <v>VGG-16-FPN-RETINANET</v>
      </c>
      <c r="E4" s="63">
        <v>11.1</v>
      </c>
      <c r="F4" s="63">
        <v>70.2</v>
      </c>
      <c r="G4" s="63">
        <v>72</v>
      </c>
      <c r="H4" s="63">
        <v>61</v>
      </c>
      <c r="I4" s="63">
        <v>53.6</v>
      </c>
    </row>
    <row r="5" spans="1:11" x14ac:dyDescent="0.2">
      <c r="A5" s="61">
        <v>3</v>
      </c>
      <c r="B5" s="59" t="str">
        <f>'UIT-Drone -&gt; Foggy'!B5</f>
        <v>SIGMA++</v>
      </c>
      <c r="C5" s="67" t="s">
        <v>59</v>
      </c>
      <c r="D5" s="58" t="str">
        <f>'UIT-Drone -&gt; Foggy'!H5</f>
        <v>VGG-16-FPN-RETINANET</v>
      </c>
      <c r="E5" s="63">
        <v>12.2</v>
      </c>
      <c r="F5" s="63">
        <v>69.7</v>
      </c>
      <c r="G5" s="63">
        <v>73.7</v>
      </c>
      <c r="H5" s="65">
        <v>67.400000000000006</v>
      </c>
      <c r="I5" s="63">
        <v>55.7</v>
      </c>
      <c r="K5" s="62"/>
    </row>
    <row r="6" spans="1:11" x14ac:dyDescent="0.2">
      <c r="A6" s="61">
        <v>4</v>
      </c>
      <c r="B6" s="59" t="str">
        <f>'UIT-Drone -&gt; Foggy'!B6</f>
        <v>Versatile Teacher</v>
      </c>
      <c r="C6" s="67" t="s">
        <v>59</v>
      </c>
      <c r="D6" s="58" t="str">
        <f>'UIT-Drone -&gt; Foggy'!H6</f>
        <v>CSPDarknet53</v>
      </c>
      <c r="E6" s="63">
        <v>2.1</v>
      </c>
      <c r="F6" s="63">
        <v>42.4</v>
      </c>
      <c r="G6" s="63">
        <v>60.1</v>
      </c>
      <c r="H6" s="63">
        <v>23.1</v>
      </c>
      <c r="I6" s="63">
        <v>31.9</v>
      </c>
    </row>
    <row r="7" spans="1:11" x14ac:dyDescent="0.2">
      <c r="A7" s="61">
        <v>5</v>
      </c>
      <c r="B7" s="60" t="str">
        <f>'UIT-Drone -&gt; Foggy'!B8</f>
        <v>BiADT</v>
      </c>
      <c r="C7" s="67" t="s">
        <v>59</v>
      </c>
      <c r="D7" s="58" t="str">
        <f>'UIT-Drone -&gt; Foggy'!H8</f>
        <v>RESNET-50</v>
      </c>
      <c r="E7" s="63">
        <v>12.4</v>
      </c>
      <c r="F7" s="63">
        <v>69.400000000000006</v>
      </c>
      <c r="G7" s="63">
        <v>76.7</v>
      </c>
      <c r="H7" s="63">
        <v>56.9</v>
      </c>
      <c r="I7" s="63">
        <v>53.8</v>
      </c>
    </row>
    <row r="8" spans="1:11" x14ac:dyDescent="0.2">
      <c r="A8" s="61">
        <v>6</v>
      </c>
      <c r="B8" s="60" t="str">
        <f>'UIT-Drone -&gt; Foggy'!B9</f>
        <v>Foggy-Aware Teacher</v>
      </c>
      <c r="C8" s="67" t="s">
        <v>59</v>
      </c>
      <c r="D8" s="58" t="str">
        <f>'UIT-Drone -&gt; Foggy'!H9</f>
        <v>CSPNet (C2f)</v>
      </c>
      <c r="E8" s="63">
        <v>4.3600000000000003</v>
      </c>
      <c r="F8" s="63">
        <v>56.4</v>
      </c>
      <c r="G8" s="63">
        <v>69.7</v>
      </c>
      <c r="H8" s="63">
        <v>56.1</v>
      </c>
      <c r="I8" s="63">
        <v>46.6</v>
      </c>
    </row>
    <row r="9" spans="1:11" x14ac:dyDescent="0.2">
      <c r="A9" s="61">
        <v>7</v>
      </c>
      <c r="B9" s="60" t="str">
        <f>'UIT-Drone -&gt; Foggy'!B11</f>
        <v>HFDNet</v>
      </c>
      <c r="C9" s="67" t="s">
        <v>59</v>
      </c>
      <c r="D9" s="58" t="str">
        <f>'UIT-Drone -&gt; Foggy'!H11</f>
        <v>CSPDarknet53</v>
      </c>
      <c r="E9" s="63">
        <v>5.0999999999999996</v>
      </c>
      <c r="F9" s="63">
        <v>63.3</v>
      </c>
      <c r="G9" s="63">
        <v>71.7</v>
      </c>
      <c r="H9" s="63">
        <v>48.7</v>
      </c>
      <c r="I9" s="63">
        <v>47.2</v>
      </c>
    </row>
    <row r="10" spans="1:11" x14ac:dyDescent="0.2">
      <c r="A10" s="61">
        <v>8</v>
      </c>
      <c r="B10" s="60" t="str">
        <f>'UIT-Drone -&gt; Foggy'!B12</f>
        <v>DA2OD</v>
      </c>
      <c r="C10" s="67" t="s">
        <v>59</v>
      </c>
      <c r="D10" s="58" t="str">
        <f>'UIT-Drone -&gt; Foggy'!H12</f>
        <v>RESNET-50</v>
      </c>
      <c r="E10" s="65">
        <v>16.3</v>
      </c>
      <c r="F10" s="65">
        <v>71.7</v>
      </c>
      <c r="G10" s="65">
        <v>80.7</v>
      </c>
      <c r="H10" s="63">
        <v>60.8</v>
      </c>
      <c r="I10" s="65">
        <v>57.4</v>
      </c>
    </row>
    <row r="11" spans="1:11" x14ac:dyDescent="0.2">
      <c r="A11" s="61">
        <v>9</v>
      </c>
      <c r="B11" s="60" t="str">
        <f>'UIT-Drone -&gt; Foggy'!B14</f>
        <v>DATR</v>
      </c>
      <c r="C11" s="67" t="s">
        <v>59</v>
      </c>
      <c r="D11" s="58" t="str">
        <f>'UIT-Drone -&gt; Foggy'!H14</f>
        <v>RESNET-50</v>
      </c>
      <c r="E11" s="64">
        <v>17.100000000000001</v>
      </c>
      <c r="F11" s="64">
        <v>85</v>
      </c>
      <c r="G11" s="64">
        <v>82.7</v>
      </c>
      <c r="H11" s="64">
        <v>75.900000000000006</v>
      </c>
      <c r="I11" s="64">
        <v>65.2</v>
      </c>
    </row>
    <row r="12" spans="1:11" x14ac:dyDescent="0.2">
      <c r="A12" s="61">
        <v>10</v>
      </c>
      <c r="B12" s="60" t="str">
        <f>'UIT-Drone -&gt; Foggy'!B16</f>
        <v>SF_TMAT</v>
      </c>
      <c r="C12" s="67" t="s">
        <v>59</v>
      </c>
      <c r="D12" s="58" t="str">
        <f>'UIT-Drone -&gt; Foggy'!H16</f>
        <v>RESNET-50</v>
      </c>
      <c r="E12" s="63">
        <v>6.1</v>
      </c>
      <c r="F12" s="63">
        <v>47.3</v>
      </c>
      <c r="G12" s="63">
        <v>65.3</v>
      </c>
      <c r="H12" s="63">
        <v>49.8</v>
      </c>
      <c r="I12" s="63">
        <v>42.1</v>
      </c>
    </row>
  </sheetData>
  <mergeCells count="1">
    <mergeCell ref="A1:I1"/>
  </mergeCells>
  <phoneticPr fontId="8" type="noConversion"/>
  <hyperlinks>
    <hyperlink ref="B3" r:id="rId1" display="https://github.com/CityU-AIM-Group/SCAN/tree/SCAN%2B%2B" xr:uid="{30D2D082-1C66-45B1-A7E5-E5F50A45DE78}"/>
    <hyperlink ref="B4" r:id="rId2" display="https://github.com/CityU-AIM-Group/SIGMA" xr:uid="{056E852C-0AAF-4033-8947-1BA468DEFB87}"/>
    <hyperlink ref="B5" r:id="rId3" display="https://github.com/CityU-AIM-Group/SIGMA/tree/SIGMA%2B%2B" xr:uid="{EDEEB1BC-0C38-4A62-A80E-F2D69E2ABE2C}"/>
    <hyperlink ref="B6" r:id="rId4" display="https://github.com/RicardooYoung/VersatileTeacher" xr:uid="{2AE63070-A84C-4B51-8C17-8A8A9F8F93C5}"/>
    <hyperlink ref="B7" r:id="rId5" display="https://github.com/helq2612/BiADT" xr:uid="{4C43643E-9FDC-4A35-B60C-5280B9E11A85}"/>
    <hyperlink ref="B8" r:id="rId6" display="https://github.com/qinhongda8/FA_Teather" xr:uid="{A93E0A97-BB95-4EF8-90B5-C43E1BE4C4B0}"/>
    <hyperlink ref="B9" r:id="rId7" display="https://github.com/LiuJiaji1999/HFDNet" xr:uid="{4A8CAB4E-6118-4B9E-A83E-6ADCD99E6DE6}"/>
    <hyperlink ref="B10" r:id="rId8" display="https://github.com/EstrellaXyu/Differential-Alignment-for-DAOD/tree/master" xr:uid="{B1A63943-66C3-4508-8434-B646CBDE852C}"/>
    <hyperlink ref="B11" r:id="rId9" display="https://github.com/h751410234/DATR" xr:uid="{B4577C21-F138-48E7-B038-EC861B820455}"/>
    <hyperlink ref="B12" r:id="rId10" display="https://github.com/ChenHuyoo/SF_TMAT" xr:uid="{E7203869-404F-4D37-920C-48212200C3AD}"/>
  </hyperlinks>
  <pageMargins left="0.7" right="0.7" top="0.75" bottom="0.75" header="0.3" footer="0.3"/>
  <ignoredErrors>
    <ignoredError sqref="D7:D12" calculatedColumn="1"/>
  </ignoredErrors>
  <drawing r:id="rId11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9D9A63-05B5-4393-B223-3F5A9EF123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UIT-Drone -&gt; Foggy</vt:lpstr>
      <vt:lpstr>Results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10</dc:creator>
  <cp:keywords/>
  <dc:description/>
  <cp:lastModifiedBy>Tran Huy</cp:lastModifiedBy>
  <cp:revision/>
  <dcterms:created xsi:type="dcterms:W3CDTF">2024-05-31T15:34:41Z</dcterms:created>
  <dcterms:modified xsi:type="dcterms:W3CDTF">2026-01-31T04:07:11Z</dcterms:modified>
  <cp:category/>
  <cp:contentStatus/>
</cp:coreProperties>
</file>